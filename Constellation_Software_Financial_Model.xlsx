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Forecast" sheetId="3" state="visible" r:id="rId3"/>
    <sheet xmlns:r="http://schemas.openxmlformats.org/officeDocument/2006/relationships"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20" customWidth="1" min="4" max="4"/>
    <col width="18" customWidth="1" min="5" max="5"/>
    <col width="10" customWidth="1" min="6" max="6"/>
    <col width="20" customWidth="1" min="7" max="7"/>
    <col width="24" customWidth="1" min="8" max="8"/>
    <col width="24" customWidth="1" min="9" max="9"/>
    <col width="14" customWidth="1" min="10" max="10"/>
    <col width="24" customWidth="1" min="11" max="11"/>
    <col width="16" customWidth="1" min="12" max="12"/>
    <col width="20" customWidth="1" min="13" max="13"/>
  </cols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Operating income</t>
        </is>
      </c>
      <c r="D1" s="1" t="inlineStr">
        <is>
          <t>Net income attributable</t>
        </is>
      </c>
      <c r="E1" s="1" t="inlineStr">
        <is>
          <t>Operating cash flow</t>
        </is>
      </c>
      <c r="F1" s="1" t="inlineStr">
        <is>
          <t>Capex</t>
        </is>
      </c>
      <c r="G1" s="1" t="inlineStr">
        <is>
          <t>Free cash flow (formula)</t>
        </is>
      </c>
      <c r="H1" s="1" t="inlineStr">
        <is>
          <t>Depreciation and amortisation</t>
        </is>
      </c>
      <c r="I1" s="1" t="inlineStr">
        <is>
          <t>Owner earnings proxy (formula)</t>
        </is>
      </c>
      <c r="J1" s="1" t="inlineStr">
        <is>
          <t>Dividends paid</t>
        </is>
      </c>
      <c r="K1" s="1" t="inlineStr">
        <is>
          <t>Other investing outflow (proxy)</t>
        </is>
      </c>
      <c r="L1" s="1" t="inlineStr">
        <is>
          <t>Invested capital</t>
        </is>
      </c>
      <c r="M1" s="1" t="inlineStr">
        <is>
          <t>Pre-tax ROIC % (formula)</t>
        </is>
      </c>
    </row>
    <row r="2">
      <c r="A2" t="n">
        <v>2016</v>
      </c>
      <c r="B2" t="n">
        <v>2125</v>
      </c>
      <c r="C2" t="n">
        <v>339</v>
      </c>
      <c r="D2" t="n">
        <v>207</v>
      </c>
      <c r="E2" t="n">
        <v>491</v>
      </c>
      <c r="F2" t="n">
        <v>19</v>
      </c>
      <c r="G2">
        <f>E2-F2</f>
        <v/>
      </c>
      <c r="H2" t="n">
        <v>213</v>
      </c>
      <c r="I2">
        <f>D2+H2-F2</f>
        <v/>
      </c>
      <c r="J2" t="n">
        <v>85</v>
      </c>
      <c r="K2" t="n">
        <v>176</v>
      </c>
      <c r="L2" t="n">
        <v>447</v>
      </c>
      <c r="M2">
        <f>IF(ROW()=2,"n/a",C2/AVERAGE(L1:L2)*100)</f>
        <v/>
      </c>
    </row>
    <row r="3">
      <c r="A3" t="n">
        <v>2017</v>
      </c>
      <c r="B3" t="n">
        <v>2479</v>
      </c>
      <c r="C3" t="n">
        <v>391</v>
      </c>
      <c r="D3" t="n">
        <v>222</v>
      </c>
      <c r="E3" t="n">
        <v>528</v>
      </c>
      <c r="F3" t="n">
        <v>20</v>
      </c>
      <c r="G3">
        <f>E3-F3</f>
        <v/>
      </c>
      <c r="H3" t="n">
        <v>253</v>
      </c>
      <c r="I3">
        <f>D3+H3-F3</f>
        <v/>
      </c>
      <c r="J3" t="n">
        <v>85</v>
      </c>
      <c r="K3" t="n">
        <v>230</v>
      </c>
      <c r="L3" t="n">
        <v>448</v>
      </c>
      <c r="M3">
        <f>IF(ROW()=2,"n/a",C3/AVERAGE(L2:L3)*100)</f>
        <v/>
      </c>
    </row>
    <row r="4">
      <c r="A4" t="n">
        <v>2018</v>
      </c>
      <c r="B4" t="n">
        <v>3060</v>
      </c>
      <c r="C4" t="n">
        <v>478</v>
      </c>
      <c r="D4" t="n">
        <v>379</v>
      </c>
      <c r="E4" t="n">
        <v>662</v>
      </c>
      <c r="F4" t="n">
        <v>25</v>
      </c>
      <c r="G4">
        <f>E4-F4</f>
        <v/>
      </c>
      <c r="H4" t="n">
        <v>306</v>
      </c>
      <c r="I4">
        <f>D4+H4-F4</f>
        <v/>
      </c>
      <c r="J4" t="n">
        <v>85</v>
      </c>
      <c r="K4" t="n">
        <v>483</v>
      </c>
      <c r="L4" t="n">
        <v>645</v>
      </c>
      <c r="M4">
        <f>IF(ROW()=2,"n/a",C4/AVERAGE(L3:L4)*100)</f>
        <v/>
      </c>
    </row>
    <row r="5">
      <c r="A5" t="n">
        <v>2019</v>
      </c>
      <c r="B5" t="n">
        <v>3489</v>
      </c>
      <c r="C5" t="n">
        <v>511</v>
      </c>
      <c r="D5" t="n">
        <v>333</v>
      </c>
      <c r="E5" t="n">
        <v>767</v>
      </c>
      <c r="F5" t="n">
        <v>34</v>
      </c>
      <c r="G5">
        <f>E5-F5</f>
        <v/>
      </c>
      <c r="H5" t="n">
        <v>423</v>
      </c>
      <c r="I5">
        <f>D5+H5-F5</f>
        <v/>
      </c>
      <c r="J5" t="n">
        <v>509</v>
      </c>
      <c r="K5" t="n">
        <v>510</v>
      </c>
      <c r="L5" t="n">
        <v>1191</v>
      </c>
      <c r="M5">
        <f>IF(ROW()=2,"n/a",C5/AVERAGE(L4:L5)*100)</f>
        <v/>
      </c>
    </row>
    <row r="6">
      <c r="A6" t="n">
        <v>2020</v>
      </c>
      <c r="B6" t="n">
        <v>3969</v>
      </c>
      <c r="C6" t="n">
        <v>682</v>
      </c>
      <c r="D6" t="n">
        <v>436</v>
      </c>
      <c r="E6" t="n">
        <v>1186</v>
      </c>
      <c r="F6" t="n">
        <v>25</v>
      </c>
      <c r="G6">
        <f>E6-F6</f>
        <v/>
      </c>
      <c r="H6" t="n">
        <v>508</v>
      </c>
      <c r="I6">
        <f>D6+H6-F6</f>
        <v/>
      </c>
      <c r="J6" t="n">
        <v>85</v>
      </c>
      <c r="K6" t="n">
        <v>487</v>
      </c>
      <c r="L6" t="n">
        <v>1119</v>
      </c>
      <c r="M6">
        <f>IF(ROW()=2,"n/a",C6/AVERAGE(L5:L6)*100)</f>
        <v/>
      </c>
    </row>
    <row r="7">
      <c r="A7" t="n">
        <v>2021</v>
      </c>
      <c r="B7" t="n">
        <v>5106</v>
      </c>
      <c r="C7" t="n">
        <v>870</v>
      </c>
      <c r="D7" t="n">
        <v>310</v>
      </c>
      <c r="E7" t="n">
        <v>1300</v>
      </c>
      <c r="F7" t="n">
        <v>29</v>
      </c>
      <c r="G7">
        <f>E7-F7</f>
        <v/>
      </c>
      <c r="H7" t="n">
        <v>639</v>
      </c>
      <c r="I7">
        <f>D7+H7-F7</f>
        <v/>
      </c>
      <c r="J7" t="n">
        <v>85</v>
      </c>
      <c r="K7" t="n">
        <v>1200</v>
      </c>
      <c r="L7" t="n">
        <v>2101</v>
      </c>
      <c r="M7">
        <f>IF(ROW()=2,"n/a",C7/AVERAGE(L6:L7)*100)</f>
        <v/>
      </c>
    </row>
    <row r="8">
      <c r="A8" t="n">
        <v>2022</v>
      </c>
      <c r="B8" t="n">
        <v>6622</v>
      </c>
      <c r="C8" t="n">
        <v>920</v>
      </c>
      <c r="D8" t="n">
        <v>512</v>
      </c>
      <c r="E8" t="n">
        <v>1297</v>
      </c>
      <c r="F8" t="n">
        <v>41</v>
      </c>
      <c r="G8">
        <f>E8-F8</f>
        <v/>
      </c>
      <c r="H8" t="n">
        <v>819</v>
      </c>
      <c r="I8">
        <f>D8+H8-F8</f>
        <v/>
      </c>
      <c r="J8" t="n">
        <v>92</v>
      </c>
      <c r="K8" t="n">
        <v>1700</v>
      </c>
      <c r="L8" t="n">
        <v>3324</v>
      </c>
      <c r="M8">
        <f>IF(ROW()=2,"n/a",C8/AVERAGE(L7:L8)*100)</f>
        <v/>
      </c>
    </row>
    <row r="9">
      <c r="A9" t="n">
        <v>2023</v>
      </c>
      <c r="B9" t="n">
        <v>8407</v>
      </c>
      <c r="C9" t="n">
        <v>1182</v>
      </c>
      <c r="D9" t="n">
        <v>565</v>
      </c>
      <c r="E9" t="n">
        <v>1779</v>
      </c>
      <c r="F9" t="n">
        <v>42</v>
      </c>
      <c r="G9">
        <f>E9-F9</f>
        <v/>
      </c>
      <c r="H9" t="n">
        <v>1020</v>
      </c>
      <c r="I9">
        <f>D9+H9-F9</f>
        <v/>
      </c>
      <c r="J9" t="n">
        <v>85</v>
      </c>
      <c r="K9" t="n">
        <v>1600</v>
      </c>
      <c r="L9" t="n">
        <v>4347</v>
      </c>
      <c r="M9">
        <f>IF(ROW()=2,"n/a",C9/AVERAGE(L8:L9)*100)</f>
        <v/>
      </c>
    </row>
    <row r="10">
      <c r="A10" t="n">
        <v>2024</v>
      </c>
      <c r="B10" t="n">
        <v>10066</v>
      </c>
      <c r="C10" t="n">
        <v>1471</v>
      </c>
      <c r="D10" t="n">
        <v>731</v>
      </c>
      <c r="E10" t="n">
        <v>2196</v>
      </c>
      <c r="F10" t="n">
        <v>67</v>
      </c>
      <c r="G10">
        <f>E10-F10</f>
        <v/>
      </c>
      <c r="H10" t="n">
        <v>1230</v>
      </c>
      <c r="I10">
        <f>D10+H10-F10</f>
        <v/>
      </c>
      <c r="J10" t="n">
        <v>85</v>
      </c>
      <c r="K10" t="n">
        <v>1500</v>
      </c>
      <c r="L10" t="n">
        <v>5811</v>
      </c>
      <c r="M10">
        <f>IF(ROW()=2,"n/a",C10/AVERAGE(L9:L10)*100)</f>
        <v/>
      </c>
    </row>
    <row r="11">
      <c r="A11" t="n">
        <v>2025</v>
      </c>
      <c r="B11" t="n">
        <v>11623</v>
      </c>
      <c r="C11" t="n">
        <v>1928</v>
      </c>
      <c r="D11" t="n">
        <v>512</v>
      </c>
      <c r="E11" t="n">
        <v>2732</v>
      </c>
      <c r="F11" t="n">
        <v>68</v>
      </c>
      <c r="G11">
        <f>E11-F11</f>
        <v/>
      </c>
      <c r="H11" t="n">
        <v>1410</v>
      </c>
      <c r="I11">
        <f>D11+H11-F11</f>
        <v/>
      </c>
      <c r="J11" t="n">
        <v>85</v>
      </c>
      <c r="K11" t="n">
        <v>1800</v>
      </c>
      <c r="L11" t="n">
        <v>6415</v>
      </c>
      <c r="M11">
        <f>IF(ROW()=2,"n/a",C11/AVERAGE(L10:L11)*100)</f>
        <v/>
      </c>
    </row>
    <row r="13">
      <c r="A13" t="inlineStr">
        <is>
          <t>Notes: USD millions. Revenue, operating income, net income, operating cash flow, capex, dividends and debt/cash from StockAnalysis, AlphaSpread, MacroTrends and company reports, as listed in the README. Other investing outflow is a proxy for acquisition spending, not a verified acquisition-only line. ROIC is pre-tax operating income divided by average invested capital. 2016 ROIC is shown as n/a because 2015 invested capital was not verified on the same basis.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2" t="inlineStr">
        <is>
          <t>DCF inputs</t>
        </is>
      </c>
    </row>
    <row r="2">
      <c r="A2" t="inlineStr">
        <is>
          <t>2025 free cash flow (USD millions)</t>
        </is>
      </c>
      <c r="B2" t="n">
        <v>2664</v>
      </c>
    </row>
    <row r="3">
      <c r="A3" t="inlineStr">
        <is>
          <t>Shares outstanding (millions)</t>
        </is>
      </c>
      <c r="B3" t="n">
        <v>21.19</v>
      </c>
    </row>
    <row r="4">
      <c r="A4" t="inlineStr">
        <is>
          <t>Net debt at 31 Dec 2025 (USD millions)</t>
        </is>
      </c>
      <c r="B4" t="n">
        <v>2646</v>
      </c>
    </row>
    <row r="5">
      <c r="A5" t="inlineStr">
        <is>
          <t>Share price, 23 Oct 2026 (CAD)</t>
        </is>
      </c>
      <c r="B5" t="n">
        <v>3395</v>
      </c>
    </row>
    <row r="6">
      <c r="A6" t="inlineStr">
        <is>
          <t>FX, CAD per USD, 23 Oct 2026</t>
        </is>
      </c>
      <c r="B6" t="n">
        <v>1.4</v>
      </c>
    </row>
    <row r="8">
      <c r="A8" s="1" t="inlineStr">
        <is>
          <t>Case</t>
        </is>
      </c>
      <c r="B8" s="1" t="inlineStr">
        <is>
          <t>FCF growth</t>
        </is>
      </c>
      <c r="C8" s="1" t="inlineStr">
        <is>
          <t>Discount rate</t>
        </is>
      </c>
      <c r="D8" s="1" t="inlineStr">
        <is>
          <t>Terminal growth</t>
        </is>
      </c>
      <c r="E8" s="1" t="inlineStr">
        <is>
          <t>Value per share (CAD, formula)</t>
        </is>
      </c>
    </row>
    <row r="9">
      <c r="A9" t="inlineStr">
        <is>
          <t>Base</t>
        </is>
      </c>
      <c r="B9" s="3" t="n">
        <v>0.08</v>
      </c>
      <c r="C9" s="3" t="n">
        <v>0.09</v>
      </c>
      <c r="D9" s="3" t="n">
        <v>0.03</v>
      </c>
      <c r="E9" s="4">
        <f>(SUM(Forecast!C2:C6)+Forecast!D6-B4)/B3*B6</f>
        <v/>
      </c>
    </row>
    <row r="10">
      <c r="A10" t="inlineStr">
        <is>
          <t>Optimistic</t>
        </is>
      </c>
      <c r="B10" s="3" t="n">
        <v>0.12</v>
      </c>
      <c r="C10" s="3" t="n">
        <v>0.08</v>
      </c>
      <c r="D10" s="3" t="n">
        <v>0.035</v>
      </c>
      <c r="E10" s="4">
        <f>(SUM(Forecast!C7:C11)+Forecast!D11-B4)/B3*B6</f>
        <v/>
      </c>
    </row>
    <row r="11">
      <c r="A11" t="inlineStr">
        <is>
          <t>Pessimistic</t>
        </is>
      </c>
      <c r="B11" s="3" t="n">
        <v>0.04</v>
      </c>
      <c r="C11" s="3" t="n">
        <v>0.105</v>
      </c>
      <c r="D11" s="3" t="n">
        <v>0.02</v>
      </c>
      <c r="E11" s="4">
        <f>(SUM(Forecast!C12:C16)+Forecast!D16-B4)/B3*B6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2" customWidth="1" min="3" max="3"/>
    <col width="36" customWidth="1" min="4" max="4"/>
  </cols>
  <sheetData>
    <row r="1">
      <c r="A1" s="1" t="inlineStr">
        <is>
          <t>Case</t>
        </is>
      </c>
      <c r="B1" s="1" t="inlineStr">
        <is>
          <t>Year</t>
        </is>
      </c>
      <c r="C1" s="1" t="inlineStr">
        <is>
          <t>PV of FCF (USD millions, formula)</t>
        </is>
      </c>
      <c r="D1" s="1" t="inlineStr">
        <is>
          <t>PV of terminal value (USD millions, formula)</t>
        </is>
      </c>
    </row>
    <row r="2">
      <c r="A2" t="inlineStr">
        <is>
          <t>Base</t>
        </is>
      </c>
      <c r="B2" t="n">
        <v>2026</v>
      </c>
      <c r="C2" s="4">
        <f>DCF!$B$2*(1+DCF!B9)^1/(1+DCF!C9)^1</f>
        <v/>
      </c>
    </row>
    <row r="3">
      <c r="A3" t="inlineStr">
        <is>
          <t>Base</t>
        </is>
      </c>
      <c r="B3" t="n">
        <v>2027</v>
      </c>
      <c r="C3" s="4">
        <f>DCF!$B$2*(1+DCF!B9)^2/(1+DCF!C9)^2</f>
        <v/>
      </c>
    </row>
    <row r="4">
      <c r="A4" t="inlineStr">
        <is>
          <t>Base</t>
        </is>
      </c>
      <c r="B4" t="n">
        <v>2028</v>
      </c>
      <c r="C4" s="4">
        <f>DCF!$B$2*(1+DCF!B9)^3/(1+DCF!C9)^3</f>
        <v/>
      </c>
    </row>
    <row r="5">
      <c r="A5" t="inlineStr">
        <is>
          <t>Base</t>
        </is>
      </c>
      <c r="B5" t="n">
        <v>2029</v>
      </c>
      <c r="C5" s="4">
        <f>DCF!$B$2*(1+DCF!B9)^4/(1+DCF!C9)^4</f>
        <v/>
      </c>
    </row>
    <row r="6">
      <c r="A6" t="inlineStr">
        <is>
          <t>Base</t>
        </is>
      </c>
      <c r="B6" t="n">
        <v>2030</v>
      </c>
      <c r="C6" s="4">
        <f>DCF!$B$2*(1+DCF!B9)^5/(1+DCF!C9)^5</f>
        <v/>
      </c>
      <c r="D6" s="4">
        <f>(DCF!$B$2*(1+DCF!B9)^5*(1+DCF!D9)/(DCF!C9-DCF!D9))/(1+DCF!C9)^5</f>
        <v/>
      </c>
    </row>
    <row r="7">
      <c r="A7" t="inlineStr">
        <is>
          <t>Optimistic</t>
        </is>
      </c>
      <c r="B7" t="n">
        <v>2026</v>
      </c>
      <c r="C7" s="4">
        <f>DCF!$B$2*(1+DCF!B10)^1/(1+DCF!C10)^1</f>
        <v/>
      </c>
    </row>
    <row r="8">
      <c r="A8" t="inlineStr">
        <is>
          <t>Optimistic</t>
        </is>
      </c>
      <c r="B8" t="n">
        <v>2027</v>
      </c>
      <c r="C8" s="4">
        <f>DCF!$B$2*(1+DCF!B10)^2/(1+DCF!C10)^2</f>
        <v/>
      </c>
    </row>
    <row r="9">
      <c r="A9" t="inlineStr">
        <is>
          <t>Optimistic</t>
        </is>
      </c>
      <c r="B9" t="n">
        <v>2028</v>
      </c>
      <c r="C9" s="4">
        <f>DCF!$B$2*(1+DCF!B10)^3/(1+DCF!C10)^3</f>
        <v/>
      </c>
    </row>
    <row r="10">
      <c r="A10" t="inlineStr">
        <is>
          <t>Optimistic</t>
        </is>
      </c>
      <c r="B10" t="n">
        <v>2029</v>
      </c>
      <c r="C10" s="4">
        <f>DCF!$B$2*(1+DCF!B10)^4/(1+DCF!C10)^4</f>
        <v/>
      </c>
    </row>
    <row r="11">
      <c r="A11" t="inlineStr">
        <is>
          <t>Optimistic</t>
        </is>
      </c>
      <c r="B11" t="n">
        <v>2030</v>
      </c>
      <c r="C11" s="4">
        <f>DCF!$B$2*(1+DCF!B10)^5/(1+DCF!C10)^5</f>
        <v/>
      </c>
      <c r="D11" s="4">
        <f>(DCF!$B$2*(1+DCF!B10)^5*(1+DCF!D10)/(DCF!C10-DCF!D10))/(1+DCF!C10)^5</f>
        <v/>
      </c>
    </row>
    <row r="12">
      <c r="A12" t="inlineStr">
        <is>
          <t>Pessimistic</t>
        </is>
      </c>
      <c r="B12" t="n">
        <v>2026</v>
      </c>
      <c r="C12" s="4">
        <f>DCF!$B$2*(1+DCF!B11)^1/(1+DCF!C11)^1</f>
        <v/>
      </c>
    </row>
    <row r="13">
      <c r="A13" t="inlineStr">
        <is>
          <t>Pessimistic</t>
        </is>
      </c>
      <c r="B13" t="n">
        <v>2027</v>
      </c>
      <c r="C13" s="4">
        <f>DCF!$B$2*(1+DCF!B11)^2/(1+DCF!C11)^2</f>
        <v/>
      </c>
    </row>
    <row r="14">
      <c r="A14" t="inlineStr">
        <is>
          <t>Pessimistic</t>
        </is>
      </c>
      <c r="B14" t="n">
        <v>2028</v>
      </c>
      <c r="C14" s="4">
        <f>DCF!$B$2*(1+DCF!B11)^3/(1+DCF!C11)^3</f>
        <v/>
      </c>
    </row>
    <row r="15">
      <c r="A15" t="inlineStr">
        <is>
          <t>Pessimistic</t>
        </is>
      </c>
      <c r="B15" t="n">
        <v>2029</v>
      </c>
      <c r="C15" s="4">
        <f>DCF!$B$2*(1+DCF!B11)^4/(1+DCF!C11)^4</f>
        <v/>
      </c>
    </row>
    <row r="16">
      <c r="A16" t="inlineStr">
        <is>
          <t>Pessimistic</t>
        </is>
      </c>
      <c r="B16" t="n">
        <v>2030</v>
      </c>
      <c r="C16" s="4">
        <f>DCF!$B$2*(1+DCF!B11)^5/(1+DCF!C11)^5</f>
        <v/>
      </c>
      <c r="D16" s="4">
        <f>(DCF!$B$2*(1+DCF!B11)^5*(1+DCF!D11)/(DCF!C11-DCF!D11))/(1+DCF!C11)^5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Value per share (CAD) at terminal growth 3%. Rows: FCF growth. Columns: discount rate.</t>
        </is>
      </c>
    </row>
    <row r="2">
      <c r="B2" s="5" t="n">
        <v>0.08</v>
      </c>
      <c r="C2" s="5" t="n">
        <v>0.09</v>
      </c>
      <c r="D2" s="5" t="n">
        <v>0.1</v>
      </c>
      <c r="E2" s="5" t="n">
        <v>0.11</v>
      </c>
    </row>
    <row r="3">
      <c r="A3" s="5" t="n">
        <v>0.04</v>
      </c>
      <c r="B3" s="4">
        <f>( DCF!$B$2*(1+$A3)^1/(1+0.08)^1+DCF!$B$2*(1+$A3)^2/(1+0.08)^2+DCF!$B$2*(1+$A3)^3/(1+0.08)^3+DCF!$B$2*(1+$A3)^4/(1+0.08)^4+DCF!$B$2*(1+$A3)^5/(1+0.08)^5 +(DCF!$B$2*(1+$A3)^5*1.03/(0.08-0.03))/(1+0.08)^5-DCF!$B$4)/DCF!$B$3*DCF!$B$6</f>
        <v/>
      </c>
      <c r="C3" s="4">
        <f>( DCF!$B$2*(1+$A3)^1/(1+0.09)^1+DCF!$B$2*(1+$A3)^2/(1+0.09)^2+DCF!$B$2*(1+$A3)^3/(1+0.09)^3+DCF!$B$2*(1+$A3)^4/(1+0.09)^4+DCF!$B$2*(1+$A3)^5/(1+0.09)^5 +(DCF!$B$2*(1+$A3)^5*1.03/(0.09-0.03))/(1+0.09)^5-DCF!$B$4)/DCF!$B$3*DCF!$B$6</f>
        <v/>
      </c>
      <c r="D3" s="4">
        <f>( DCF!$B$2*(1+$A3)^1/(1+0.1)^1+DCF!$B$2*(1+$A3)^2/(1+0.1)^2+DCF!$B$2*(1+$A3)^3/(1+0.1)^3+DCF!$B$2*(1+$A3)^4/(1+0.1)^4+DCF!$B$2*(1+$A3)^5/(1+0.1)^5 +(DCF!$B$2*(1+$A3)^5*1.03/(0.1-0.03))/(1+0.1)^5-DCF!$B$4)/DCF!$B$3*DCF!$B$6</f>
        <v/>
      </c>
      <c r="E3" s="4">
        <f>( DCF!$B$2*(1+$A3)^1/(1+0.11)^1+DCF!$B$2*(1+$A3)^2/(1+0.11)^2+DCF!$B$2*(1+$A3)^3/(1+0.11)^3+DCF!$B$2*(1+$A3)^4/(1+0.11)^4+DCF!$B$2*(1+$A3)^5/(1+0.11)^5 +(DCF!$B$2*(1+$A3)^5*1.03/(0.11-0.03))/(1+0.11)^5-DCF!$B$4)/DCF!$B$3*DCF!$B$6</f>
        <v/>
      </c>
    </row>
    <row r="4">
      <c r="A4" s="5" t="n">
        <v>0.06</v>
      </c>
      <c r="B4" s="4">
        <f>( DCF!$B$2*(1+$A4)^1/(1+0.08)^1+DCF!$B$2*(1+$A4)^2/(1+0.08)^2+DCF!$B$2*(1+$A4)^3/(1+0.08)^3+DCF!$B$2*(1+$A4)^4/(1+0.08)^4+DCF!$B$2*(1+$A4)^5/(1+0.08)^5 +(DCF!$B$2*(1+$A4)^5*1.03/(0.08-0.03))/(1+0.08)^5-DCF!$B$4)/DCF!$B$3*DCF!$B$6</f>
        <v/>
      </c>
      <c r="C4" s="4">
        <f>( DCF!$B$2*(1+$A4)^1/(1+0.09)^1+DCF!$B$2*(1+$A4)^2/(1+0.09)^2+DCF!$B$2*(1+$A4)^3/(1+0.09)^3+DCF!$B$2*(1+$A4)^4/(1+0.09)^4+DCF!$B$2*(1+$A4)^5/(1+0.09)^5 +(DCF!$B$2*(1+$A4)^5*1.03/(0.09-0.03))/(1+0.09)^5-DCF!$B$4)/DCF!$B$3*DCF!$B$6</f>
        <v/>
      </c>
      <c r="D4" s="4">
        <f>( DCF!$B$2*(1+$A4)^1/(1+0.1)^1+DCF!$B$2*(1+$A4)^2/(1+0.1)^2+DCF!$B$2*(1+$A4)^3/(1+0.1)^3+DCF!$B$2*(1+$A4)^4/(1+0.1)^4+DCF!$B$2*(1+$A4)^5/(1+0.1)^5 +(DCF!$B$2*(1+$A4)^5*1.03/(0.1-0.03))/(1+0.1)^5-DCF!$B$4)/DCF!$B$3*DCF!$B$6</f>
        <v/>
      </c>
      <c r="E4" s="4">
        <f>( DCF!$B$2*(1+$A4)^1/(1+0.11)^1+DCF!$B$2*(1+$A4)^2/(1+0.11)^2+DCF!$B$2*(1+$A4)^3/(1+0.11)^3+DCF!$B$2*(1+$A4)^4/(1+0.11)^4+DCF!$B$2*(1+$A4)^5/(1+0.11)^5 +(DCF!$B$2*(1+$A4)^5*1.03/(0.11-0.03))/(1+0.11)^5-DCF!$B$4)/DCF!$B$3*DCF!$B$6</f>
        <v/>
      </c>
    </row>
    <row r="5">
      <c r="A5" s="5" t="n">
        <v>0.08</v>
      </c>
      <c r="B5" s="4">
        <f>( DCF!$B$2*(1+$A5)^1/(1+0.08)^1+DCF!$B$2*(1+$A5)^2/(1+0.08)^2+DCF!$B$2*(1+$A5)^3/(1+0.08)^3+DCF!$B$2*(1+$A5)^4/(1+0.08)^4+DCF!$B$2*(1+$A5)^5/(1+0.08)^5 +(DCF!$B$2*(1+$A5)^5*1.03/(0.08-0.03))/(1+0.08)^5-DCF!$B$4)/DCF!$B$3*DCF!$B$6</f>
        <v/>
      </c>
      <c r="C5" s="4">
        <f>( DCF!$B$2*(1+$A5)^1/(1+0.09)^1+DCF!$B$2*(1+$A5)^2/(1+0.09)^2+DCF!$B$2*(1+$A5)^3/(1+0.09)^3+DCF!$B$2*(1+$A5)^4/(1+0.09)^4+DCF!$B$2*(1+$A5)^5/(1+0.09)^5 +(DCF!$B$2*(1+$A5)^5*1.03/(0.09-0.03))/(1+0.09)^5-DCF!$B$4)/DCF!$B$3*DCF!$B$6</f>
        <v/>
      </c>
      <c r="D5" s="4">
        <f>( DCF!$B$2*(1+$A5)^1/(1+0.1)^1+DCF!$B$2*(1+$A5)^2/(1+0.1)^2+DCF!$B$2*(1+$A5)^3/(1+0.1)^3+DCF!$B$2*(1+$A5)^4/(1+0.1)^4+DCF!$B$2*(1+$A5)^5/(1+0.1)^5 +(DCF!$B$2*(1+$A5)^5*1.03/(0.1-0.03))/(1+0.1)^5-DCF!$B$4)/DCF!$B$3*DCF!$B$6</f>
        <v/>
      </c>
      <c r="E5" s="4">
        <f>( DCF!$B$2*(1+$A5)^1/(1+0.11)^1+DCF!$B$2*(1+$A5)^2/(1+0.11)^2+DCF!$B$2*(1+$A5)^3/(1+0.11)^3+DCF!$B$2*(1+$A5)^4/(1+0.11)^4+DCF!$B$2*(1+$A5)^5/(1+0.11)^5 +(DCF!$B$2*(1+$A5)^5*1.03/(0.11-0.03))/(1+0.11)^5-DCF!$B$4)/DCF!$B$3*DCF!$B$6</f>
        <v/>
      </c>
    </row>
    <row r="6">
      <c r="A6" s="5" t="n">
        <v>0.1</v>
      </c>
      <c r="B6" s="4">
        <f>( DCF!$B$2*(1+$A6)^1/(1+0.08)^1+DCF!$B$2*(1+$A6)^2/(1+0.08)^2+DCF!$B$2*(1+$A6)^3/(1+0.08)^3+DCF!$B$2*(1+$A6)^4/(1+0.08)^4+DCF!$B$2*(1+$A6)^5/(1+0.08)^5 +(DCF!$B$2*(1+$A6)^5*1.03/(0.08-0.03))/(1+0.08)^5-DCF!$B$4)/DCF!$B$3*DCF!$B$6</f>
        <v/>
      </c>
      <c r="C6" s="4">
        <f>( DCF!$B$2*(1+$A6)^1/(1+0.09)^1+DCF!$B$2*(1+$A6)^2/(1+0.09)^2+DCF!$B$2*(1+$A6)^3/(1+0.09)^3+DCF!$B$2*(1+$A6)^4/(1+0.09)^4+DCF!$B$2*(1+$A6)^5/(1+0.09)^5 +(DCF!$B$2*(1+$A6)^5*1.03/(0.09-0.03))/(1+0.09)^5-DCF!$B$4)/DCF!$B$3*DCF!$B$6</f>
        <v/>
      </c>
      <c r="D6" s="4">
        <f>( DCF!$B$2*(1+$A6)^1/(1+0.1)^1+DCF!$B$2*(1+$A6)^2/(1+0.1)^2+DCF!$B$2*(1+$A6)^3/(1+0.1)^3+DCF!$B$2*(1+$A6)^4/(1+0.1)^4+DCF!$B$2*(1+$A6)^5/(1+0.1)^5 +(DCF!$B$2*(1+$A6)^5*1.03/(0.1-0.03))/(1+0.1)^5-DCF!$B$4)/DCF!$B$3*DCF!$B$6</f>
        <v/>
      </c>
      <c r="E6" s="4">
        <f>( DCF!$B$2*(1+$A6)^1/(1+0.11)^1+DCF!$B$2*(1+$A6)^2/(1+0.11)^2+DCF!$B$2*(1+$A6)^3/(1+0.11)^3+DCF!$B$2*(1+$A6)^4/(1+0.11)^4+DCF!$B$2*(1+$A6)^5/(1+0.11)^5 +(DCF!$B$2*(1+$A6)^5*1.03/(0.11-0.03))/(1+0.11)^5-DCF!$B$4)/DCF!$B$3*DCF!$B$6</f>
        <v/>
      </c>
    </row>
    <row r="7">
      <c r="A7" s="5" t="n">
        <v>0.12</v>
      </c>
      <c r="B7" s="4">
        <f>( DCF!$B$2*(1+$A7)^1/(1+0.08)^1+DCF!$B$2*(1+$A7)^2/(1+0.08)^2+DCF!$B$2*(1+$A7)^3/(1+0.08)^3+DCF!$B$2*(1+$A7)^4/(1+0.08)^4+DCF!$B$2*(1+$A7)^5/(1+0.08)^5 +(DCF!$B$2*(1+$A7)^5*1.03/(0.08-0.03))/(1+0.08)^5-DCF!$B$4)/DCF!$B$3*DCF!$B$6</f>
        <v/>
      </c>
      <c r="C7" s="4">
        <f>( DCF!$B$2*(1+$A7)^1/(1+0.09)^1+DCF!$B$2*(1+$A7)^2/(1+0.09)^2+DCF!$B$2*(1+$A7)^3/(1+0.09)^3+DCF!$B$2*(1+$A7)^4/(1+0.09)^4+DCF!$B$2*(1+$A7)^5/(1+0.09)^5 +(DCF!$B$2*(1+$A7)^5*1.03/(0.09-0.03))/(1+0.09)^5-DCF!$B$4)/DCF!$B$3*DCF!$B$6</f>
        <v/>
      </c>
      <c r="D7" s="4">
        <f>( DCF!$B$2*(1+$A7)^1/(1+0.1)^1+DCF!$B$2*(1+$A7)^2/(1+0.1)^2+DCF!$B$2*(1+$A7)^3/(1+0.1)^3+DCF!$B$2*(1+$A7)^4/(1+0.1)^4+DCF!$B$2*(1+$A7)^5/(1+0.1)^5 +(DCF!$B$2*(1+$A7)^5*1.03/(0.1-0.03))/(1+0.1)^5-DCF!$B$4)/DCF!$B$3*DCF!$B$6</f>
        <v/>
      </c>
      <c r="E7" s="4">
        <f>( DCF!$B$2*(1+$A7)^1/(1+0.11)^1+DCF!$B$2*(1+$A7)^2/(1+0.11)^2+DCF!$B$2*(1+$A7)^3/(1+0.11)^3+DCF!$B$2*(1+$A7)^4/(1+0.11)^4+DCF!$B$2*(1+$A7)^5/(1+0.11)^5 +(DCF!$B$2*(1+$A7)^5*1.03/(0.11-0.03))/(1+0.11)^5-DCF!$B$4)/DCF!$B$3*DCF!$B$6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2026-10-26T15:43:28Z</dcterms:created>
  <dcterms:modified xmlns:dcterms="http://purl.org/dc/terms/" xmlns:xsi="http://www.w3.org/2001/XMLSchema-instance" xsi:type="dcterms:W3CDTF">2026-10-26T15:43:28Z</dcterms:modified>
</cp:coreProperties>
</file>